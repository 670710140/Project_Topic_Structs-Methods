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517321pl\project\"/>
    </mc:Choice>
  </mc:AlternateContent>
  <xr:revisionPtr revIDLastSave="0" documentId="13_ncr:1_{7D235D7B-F895-44F3-BA33-149DCDC5E9C3}" xr6:coauthVersionLast="47" xr6:coauthVersionMax="47" xr10:uidLastSave="{00000000-0000-0000-0000-000000000000}"/>
  <bookViews>
    <workbookView xWindow="-28920" yWindow="-120" windowWidth="29040" windowHeight="17520" tabRatio="500" xr2:uid="{00000000-000D-0000-FFFF-FFFF00000000}"/>
  </bookViews>
  <sheets>
    <sheet name="เกณฑ์การให้คะแนน (Rubric)" sheetId="1" r:id="rId1"/>
    <sheet name="ตารางกรอกคะแนน (Grading)" sheetId="2" r:id="rId2"/>
  </sheets>
  <definedNames>
    <definedName name="_xlnm._FilterDatabase" localSheetId="1" hidden="1">'ตารางกรอกคะแนน (Grading)'!$A$2:$P$24</definedName>
    <definedName name="_xlnm.Print_Titles" localSheetId="1">'ตารางกรอกคะแนน (Grading)'!$1:$2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6" i="2" l="1"/>
  <c r="N24" i="2"/>
  <c r="H24" i="2"/>
  <c r="O24" i="2" s="1"/>
  <c r="N23" i="2"/>
  <c r="H23" i="2"/>
  <c r="O23" i="2" s="1"/>
  <c r="N22" i="2"/>
  <c r="O22" i="2" s="1"/>
  <c r="H22" i="2"/>
  <c r="N21" i="2"/>
  <c r="H21" i="2"/>
  <c r="O21" i="2" s="1"/>
  <c r="N20" i="2"/>
  <c r="H20" i="2"/>
  <c r="O20" i="2" s="1"/>
  <c r="O19" i="2"/>
  <c r="N19" i="2"/>
  <c r="H19" i="2"/>
  <c r="N18" i="2"/>
  <c r="H18" i="2"/>
  <c r="O18" i="2" s="1"/>
  <c r="N17" i="2"/>
  <c r="H17" i="2"/>
  <c r="O17" i="2" s="1"/>
  <c r="N16" i="2"/>
  <c r="H16" i="2"/>
  <c r="O16" i="2" s="1"/>
  <c r="N15" i="2"/>
  <c r="H15" i="2"/>
  <c r="O15" i="2" s="1"/>
  <c r="N14" i="2"/>
  <c r="O14" i="2" s="1"/>
  <c r="H14" i="2"/>
  <c r="N13" i="2"/>
  <c r="H13" i="2"/>
  <c r="O13" i="2" s="1"/>
  <c r="N12" i="2"/>
  <c r="H12" i="2"/>
  <c r="O12" i="2" s="1"/>
  <c r="O11" i="2"/>
  <c r="N11" i="2"/>
  <c r="H11" i="2"/>
  <c r="N10" i="2"/>
  <c r="H10" i="2"/>
  <c r="O10" i="2" s="1"/>
  <c r="N9" i="2"/>
  <c r="H9" i="2"/>
  <c r="O9" i="2" s="1"/>
  <c r="N8" i="2"/>
  <c r="H8" i="2"/>
  <c r="O8" i="2" s="1"/>
  <c r="N7" i="2"/>
  <c r="H7" i="2"/>
  <c r="O7" i="2" s="1"/>
  <c r="N6" i="2"/>
  <c r="N26" i="2" s="1"/>
  <c r="H6" i="2"/>
  <c r="N5" i="2"/>
  <c r="H5" i="2"/>
  <c r="O5" i="2" s="1"/>
  <c r="N4" i="2"/>
  <c r="H4" i="2"/>
  <c r="O4" i="2" s="1"/>
  <c r="O3" i="2"/>
  <c r="N3" i="2"/>
  <c r="H3" i="2"/>
  <c r="C16" i="1"/>
  <c r="C10" i="1"/>
  <c r="C17" i="1" l="1"/>
  <c r="O6" i="2"/>
  <c r="O26" i="2" s="1"/>
</calcChain>
</file>

<file path=xl/sharedStrings.xml><?xml version="1.0" encoding="utf-8"?>
<sst xmlns="http://schemas.openxmlformats.org/spreadsheetml/2006/main" count="104" uniqueCount="104">
  <si>
    <t>เกณฑ์การให้คะแนนโครงการ Rust Tutorial — รวม 12% ของคะแนนรายวิชา</t>
  </si>
  <si>
    <t>น้ำหนักคะแนนเน้นที่การนำเสนอ (Presentation) 7% มากกว่าเอกสารบทเรียน (Documentation) 5% เนื่องจากต้องการวัดความเข้าใจจริงและทักษะการสื่อสารของสมาชิกทุกคนแบบสด ๆ หน้าชั้นเรียน</t>
  </si>
  <si>
    <t>ส่วน</t>
  </si>
  <si>
    <t>หัวข้อเกณฑ์ (Criterion)</t>
  </si>
  <si>
    <t>คะแนนเต็ม</t>
  </si>
  <si>
    <t>ดีมาก (100%)</t>
  </si>
  <si>
    <t>ดี (75%)</t>
  </si>
  <si>
    <t>พอใช้ (50%)</t>
  </si>
  <si>
    <t>การนำเสนอ
(Presentation)</t>
  </si>
  <si>
    <t>ความเข้าใจและความถูกต้องของเนื้อหา</t>
  </si>
  <si>
    <t>อธิบายแนวคิดถูกต้อง ลึกซึ้ง เชื่อมโยงกับ PPL ได้ชัดเจน (2.0 คะแนน)</t>
  </si>
  <si>
    <t>อธิบายถูกต้อง แต่ยังขาดความลึกหรือการเชื่อมโยงบางจุด (1.5 คะแนน)</t>
  </si>
  <si>
    <t>อธิบายได้บางส่วน มีความเข้าใจคลาดเคลื่อนเล็กน้อย (1.0 คะแนน)</t>
  </si>
  <si>
    <t>การสาธิตโค้ด (Live Demo)</t>
  </si>
  <si>
    <t>การจัดเวลาและการนำเสนอรายบุคคล (~5 นาที/คน)</t>
  </si>
  <si>
    <t>การตอบคำถาม / ความเข้าใจภาพรวมของกลุ่ม</t>
  </si>
  <si>
    <t>ทุกคนตอบคำถามเกี่ยวกับส่วนใดของกลุ่มก็ได้อย่างถูกต้อง (1.0 คะแนน)</t>
  </si>
  <si>
    <t>ตอบคำถามได้ดี แต่บางคนตอบเฉพาะส่วนของตนเองได้ชัด (0.75 คะแนน)</t>
  </si>
  <si>
    <t>ตอบคำถามได้เพียงบางส่วน สมาชิกบางคนตอบไม่ได้ (0.5 คะแนน)</t>
  </si>
  <si>
    <t>สื่อประกอบการนำเสนอ (Slide/Template)</t>
  </si>
  <si>
    <t>ใช้ Template ครบถ้วน ออกแบบชัดเจน อ่านง่าย โค้ดในสไลด์ถูกต้อง (1.0 คะแนน)</t>
  </si>
  <si>
    <t>ใช้ Template เป็นหลัก มีจุดที่ปรับปรุงด้านการออกแบบได้เล็กน้อย (0.75 คะแนน)</t>
  </si>
  <si>
    <t>สไลด์มีข้อมูลแน่นเกินไปหรือไม่ตาม Template (0.5 คะแนน)</t>
  </si>
  <si>
    <t>รวมคะแนนการนำเสนอ (Presentation Subtotal)</t>
  </si>
  <si>
    <t>เอกสารบทเรียน
(Documentation)</t>
  </si>
  <si>
    <t>ความครบถ้วนตาม Template (15 หัวข้อ)</t>
  </si>
  <si>
    <t>ครบทุกหัวข้อตาม Template อย่างสมบูรณ์ (1.0 คะแนน)</t>
  </si>
  <si>
    <t>ครบเกือบทุกหัวข้อ ขาดรายละเอียดเล็กน้อย (0.75 คะแนน)</t>
  </si>
  <si>
    <t>ขาดหลายหัวข้อ หรือเนื้อหาบางส่วนสั้นเกินไป (0.5 คะแนน)</t>
  </si>
  <si>
    <t>ความถูกต้องของโค้ด (Compile/Run ได้จริง)</t>
  </si>
  <si>
    <t>การวิเคราะห์เชิง PPL และเปรียบเทียบภาษา</t>
  </si>
  <si>
    <t>วิเคราะห์ Syntax/Semantics/Type System/Memory ครบถ้วน ลึกซึ้ง เปรียบเทียบภาษาอื่นอย่างมีเหตุผล (1.0 คะแนน)</t>
  </si>
  <si>
    <t>วิเคราะห์ครบแต่ยังไม่ลึก หรือเปรียบเทียบภาษาอื่นได้พอสมควร (0.75 คะแนน)</t>
  </si>
  <si>
    <t>วิเคราะห์ผิวเผิน ขาดการเปรียบเทียบที่ชัดเจน (0.5 คะแนน)</t>
  </si>
  <si>
    <t>แบบฝึกหัดและข้อผิดพลาดที่พบบ่อย</t>
  </si>
  <si>
    <t>การอ้างอิง / GitHub Contribution / AI Declaration</t>
  </si>
  <si>
    <t>รวมคะแนนเอกสาร (Documentation Subtotal)</t>
  </si>
  <si>
    <t>รวมทั้งหมด (Total — 12% ของคะแนนรายวิชา)</t>
  </si>
  <si>
    <t>ข้อมูลกลุ่ม</t>
  </si>
  <si>
    <t>การนำเสนอ (Presentation — เต็ม 7 คะแนน)</t>
  </si>
  <si>
    <t>รวม
Presentation</t>
  </si>
  <si>
    <t>เอกสารบทเรียน (Documentation — เต็ม 5 คะแนน)</t>
  </si>
  <si>
    <t>รวม
Documentation</t>
  </si>
  <si>
    <t>รวมทั้งหมด
(เต็ม 12)</t>
  </si>
  <si>
    <t>หมายเหตุ</t>
  </si>
  <si>
    <t>เนื้อหา
(2.0)</t>
  </si>
  <si>
    <t>Live Demo
(1.5)</t>
  </si>
  <si>
    <t>การจัดเวลา
(1.5)</t>
  </si>
  <si>
    <t>ตอบคำถาม
(1.0)</t>
  </si>
  <si>
    <t>สไลด์
(1.0)</t>
  </si>
  <si>
    <t>ครบถ้วน
(1.0)</t>
  </si>
  <si>
    <t>โค้ดถูกต้อง
(1.5)</t>
  </si>
  <si>
    <t>PPL/เทียบภาษา
(1.0)</t>
  </si>
  <si>
    <t>แบบฝึกหัด
(0.75)</t>
  </si>
  <si>
    <t>อ้างอิง/GitHub/AI
(0.75)</t>
  </si>
  <si>
    <t>1. Introduction to Rust &amp; Programming Paradigms</t>
  </si>
  <si>
    <t>2. Rust Environment, Cargo &amp; First Program</t>
  </si>
  <si>
    <t>3. Variables, Mutability &amp; Data Types</t>
  </si>
  <si>
    <t>4. Functions</t>
  </si>
  <si>
    <t>5. Expressions &amp; Statements</t>
  </si>
  <si>
    <t>6. Conditional Structures</t>
  </si>
  <si>
    <t>7. Iterative Structures</t>
  </si>
  <si>
    <t>8. Structs &amp; Methods</t>
  </si>
  <si>
    <t>9. Enums &amp; Pattern Matching</t>
  </si>
  <si>
    <t>10. Collections &amp; Strings</t>
  </si>
  <si>
    <t>11. Ownership</t>
  </si>
  <si>
    <t>12. References &amp; Borrowing</t>
  </si>
  <si>
    <t>13. Slices &amp; Rust Memory Model</t>
  </si>
  <si>
    <t>14. Error Handling: Option &amp; Result</t>
  </si>
  <si>
    <t>15. Generics &amp; Type System</t>
  </si>
  <si>
    <t>16. Traits &amp; Polymorphism</t>
  </si>
  <si>
    <t>17. Lifetimes</t>
  </si>
  <si>
    <t>18. Modules, Packages &amp; Crates</t>
  </si>
  <si>
    <t>19. Closures &amp; Functional Programming</t>
  </si>
  <si>
    <t>20. Iterators &amp; Higher-Order Programming</t>
  </si>
  <si>
    <t>21. Smart Pointers &amp; Resource Management</t>
  </si>
  <si>
    <t>22. Concurrency &amp; Threads</t>
  </si>
  <si>
    <t>ค่าเฉลี่ยของชั้นเรียน (Class Average)</t>
  </si>
  <si>
    <t>โค้ดทุกตัวอย่าง compile และ run ได้ผลลัพธ์ตรงตามที่ระบุ (1.0 คะแนน)</t>
  </si>
  <si>
    <t>อธิบายผิดหรือสับสนในสาระสำคัญ (0.5 คะแนน)</t>
  </si>
  <si>
    <t>โค้ดส่วนใหญ่ใช้งานได้ มีข้อผิดพลาดเล็กน้อย (0.75 คะแนน)</t>
  </si>
  <si>
    <t>แบบฝึกหัดและ Common Mistakes ครบถ้วนดี มีจุดปรับปรุงเล็กน้อย (0.75 คะแนน)</t>
  </si>
  <si>
    <t>มีครบทุกส่วนแต่รายละเอียดหรือหลักฐานยังไม่ครบถ้วน (0.75 คะแนน)</t>
  </si>
  <si>
    <t>ควบคุมเวลาไม่ได้ หรือสมาชิกบางคนไม่ได้นำเสนอ (0.5 คะแนน)</t>
  </si>
  <si>
    <t>ตอบคำถามไม่ได้ หรือไม่เข้าใจงานของกลุ่มตนเอง (0 คะแนน)</t>
  </si>
  <si>
    <t>ไม่มีสไลด์ หรือสไลด์อ่านไม่รู้เรื่อง (0 คะแนน)</t>
  </si>
  <si>
    <t>ไม่มี Demo หรือโค้ดใช้งานไม่ได้ (0 คะแนน)</t>
  </si>
  <si>
    <t>แบบฝึกหัด 2 ข้อเหมาะสมกับหัวข้อ พร้อม Solution ถูกต้อง และ Common Mistakes ตรงประเด็น (1.0 คะแนน)</t>
  </si>
  <si>
    <t>อ้างอิงน่าเชื่อถือ &gt;= 4 แหล่ง, มีหลักฐาน Contribution ของทุกคนบน GitHub, แจ้งการใช้ AI ชัดเจนและตรวจสอบแล้ว (1.0 คะแนน)</t>
  </si>
  <si>
    <t>โค้ดบางส่วน compile ไม่ผ่านหรือผลลัพธ์ไม่ตรง (0.5 คะแนน)</t>
  </si>
  <si>
    <t>แบบฝึกหัดง่ายเกินไป/ไม่เกี่ยวข้อง หรือ Common Mistakes ไม่ชัดเจน (0.5 คะแนน)</t>
  </si>
  <si>
    <t>ขาดบางส่วน เช่น อ้างอิงไม่พอ หรือ Contribution กระจุกที่บางคน (0.5 คะแนน)</t>
  </si>
  <si>
    <t>ไม่มีการอ้างอิง ไม่มีหลักฐาน Contribution หรือไม่แจ้งการใช้ AI (0 คะแนน)</t>
  </si>
  <si>
    <t>ไม่มีการวิเคราะห์เชิง PPL หรือผิดหลักการ (0 คะแนน)</t>
  </si>
  <si>
    <t>ไม่ครบตาม Template อย่างมาก (0 คะแนน)</t>
  </si>
  <si>
    <t>โค้ดส่วนใหญ่ใช้งานไม่ได้ (0 คะแนน)</t>
  </si>
  <si>
    <t>ไม่มีแบบฝึกหัดหรือ Common Mistakes ที่ใช้ได้จริง (0 คะแนน)</t>
  </si>
  <si>
    <t>Demo ลื่นไหล โค้ด compile/run จริง อธิบายผลลัพธ์ได้ชัดเจน (2.0 คะแนน)</t>
  </si>
  <si>
    <t>Demo ทำได้ดี มีติดขัดเล็กน้อยแต่กู้สถานการณ์ได้ (1.5 คะแนน)</t>
  </si>
  <si>
    <t>Demo ใช้ภาพหรือวิดีโอสำรอง ไม่ได้รันสด หรือมีข้อผิดพลาดบางจุด (1.0 คะแนน)</t>
  </si>
  <si>
    <t>ควรปรับปรุง (25%)</t>
  </si>
  <si>
    <t>ทุกคนพูดในเวลาที่กำหนด นำเสนอมั่นใจ ต่อเนื่อง เป็นธรรมชาติ (1 คะแนน)</t>
  </si>
  <si>
    <t>ส่วนใหญ่ตรงเวลา นำเสนอดี มีสะดุดเล็กน้อย (1.5 คะแนน)</t>
  </si>
  <si>
    <t>บางคนเกินเวลามาก หรืออ่านสไลด์ตลอด (1.0 คะแนน)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</si>
</sst>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Angsana New"/>
      <charset val="1"/>
    </font>
    <font>
      <sz val="11"/>
      <name val="Angsana New"/>
      <charset val="1"/>
    </font>
    <font>
      <b/>
      <sz val="11"/>
      <name val="Angsana New"/>
      <charset val="1"/>
    </font>
    <font>
      <b/>
      <sz val="10"/>
      <color rgb="FFFFFFFF"/>
      <name val="Angsana New"/>
      <charset val="1"/>
    </font>
    <font>
      <b/>
      <sz val="14"/>
      <color rgb="FFFFFFFF"/>
      <name val="TH Sarabun New"/>
      <family val="2"/>
    </font>
    <font>
      <sz val="14"/>
      <name val="TH Sarabun New"/>
      <family val="2"/>
    </font>
    <font>
      <sz val="14"/>
      <color theme="1"/>
      <name val="TH Sarabun New"/>
      <family val="2"/>
    </font>
    <font>
      <b/>
      <sz val="14"/>
      <name val="TH Sarabun New"/>
      <family val="2"/>
    </font>
    <font>
      <b/>
      <sz val="16"/>
      <color rgb="FF8B2E2E"/>
      <name val="TH Sarabun New"/>
      <family val="2"/>
    </font>
    <font>
      <i/>
      <sz val="12"/>
      <color rgb="FF555555"/>
      <name val="TH Sarabun New"/>
      <family val="2"/>
    </font>
  </fonts>
  <fills count="7">
    <fill>
      <patternFill patternType="none"/>
    </fill>
    <fill>
      <patternFill patternType="gray125"/>
    </fill>
    <fill>
      <patternFill patternType="solid">
        <fgColor rgb="FF8B2E2E"/>
        <bgColor rgb="FF993366"/>
      </patternFill>
    </fill>
    <fill>
      <patternFill patternType="solid">
        <fgColor rgb="FFF4E7E7"/>
        <bgColor rgb="FFFFF2CC"/>
      </patternFill>
    </fill>
    <fill>
      <patternFill patternType="solid">
        <fgColor rgb="FFE8D5D5"/>
        <bgColor rgb="FFF4E7E7"/>
      </patternFill>
    </fill>
    <fill>
      <patternFill patternType="solid">
        <fgColor rgb="FFB5605F"/>
        <bgColor rgb="FF993366"/>
      </patternFill>
    </fill>
    <fill>
      <patternFill patternType="solid">
        <fgColor rgb="FFFFF2CC"/>
        <bgColor rgb="FFF4E7E7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/>
    <xf numFmtId="0" fontId="8" fillId="4" borderId="1" xfId="0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center" vertical="center"/>
    </xf>
    <xf numFmtId="0" fontId="7" fillId="4" borderId="2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2" xfId="0" applyFont="1" applyFill="1" applyBorder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5605F"/>
      <rgbColor rgb="FFFFF2CC"/>
      <rgbColor rgb="FFF4E7E7"/>
      <rgbColor rgb="FF660066"/>
      <rgbColor rgb="FFFF8080"/>
      <rgbColor rgb="FF0066CC"/>
      <rgbColor rgb="FFE8D5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8B2E2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7"/>
  <sheetViews>
    <sheetView tabSelected="1" zoomScale="145" zoomScaleNormal="145" workbookViewId="0">
      <pane ySplit="4" topLeftCell="A5" activePane="bottomLeft" state="frozen"/>
      <selection pane="bottomLeft" activeCell="A2" sqref="A2:F2"/>
    </sheetView>
  </sheetViews>
  <sheetFormatPr defaultColWidth="8.6640625" defaultRowHeight="14.25" x14ac:dyDescent="0.45"/>
  <cols>
    <col min="1" max="1" width="16" customWidth="1"/>
    <col min="2" max="2" width="30" customWidth="1"/>
    <col min="3" max="3" width="10" customWidth="1"/>
    <col min="4" max="7" width="28" customWidth="1"/>
  </cols>
  <sheetData>
    <row r="1" spans="1:7" ht="27.75" customHeight="1" x14ac:dyDescent="0.45">
      <c r="A1" s="27" t="s">
        <v>0</v>
      </c>
      <c r="B1" s="27"/>
      <c r="C1" s="27"/>
      <c r="D1" s="27"/>
      <c r="E1" s="27"/>
      <c r="F1" s="27"/>
    </row>
    <row r="2" spans="1:7" ht="33.75" customHeight="1" x14ac:dyDescent="0.45">
      <c r="A2" s="28" t="s">
        <v>1</v>
      </c>
      <c r="B2" s="28"/>
      <c r="C2" s="28"/>
      <c r="D2" s="28"/>
      <c r="E2" s="28"/>
      <c r="F2" s="28"/>
    </row>
    <row r="4" spans="1:7" ht="25.5" customHeight="1" x14ac:dyDescent="0.4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G4" s="13" t="s">
        <v>100</v>
      </c>
    </row>
    <row r="5" spans="1:7" ht="60" customHeight="1" x14ac:dyDescent="0.45">
      <c r="A5" s="14" t="s">
        <v>8</v>
      </c>
      <c r="B5" s="15" t="s">
        <v>9</v>
      </c>
      <c r="C5" s="16">
        <v>2</v>
      </c>
      <c r="D5" s="15" t="s">
        <v>10</v>
      </c>
      <c r="E5" s="15" t="s">
        <v>11</v>
      </c>
      <c r="F5" s="15" t="s">
        <v>12</v>
      </c>
      <c r="G5" s="15" t="s">
        <v>79</v>
      </c>
    </row>
    <row r="6" spans="1:7" ht="60" customHeight="1" x14ac:dyDescent="0.45">
      <c r="A6" s="14"/>
      <c r="B6" s="15" t="s">
        <v>13</v>
      </c>
      <c r="C6" s="16">
        <v>2</v>
      </c>
      <c r="D6" s="15" t="s">
        <v>97</v>
      </c>
      <c r="E6" s="15" t="s">
        <v>98</v>
      </c>
      <c r="F6" s="15" t="s">
        <v>99</v>
      </c>
      <c r="G6" s="15" t="s">
        <v>86</v>
      </c>
    </row>
    <row r="7" spans="1:7" ht="60" customHeight="1" x14ac:dyDescent="0.45">
      <c r="A7" s="14"/>
      <c r="B7" s="15" t="s">
        <v>14</v>
      </c>
      <c r="C7" s="16">
        <v>1</v>
      </c>
      <c r="D7" s="15" t="s">
        <v>101</v>
      </c>
      <c r="E7" s="15" t="s">
        <v>102</v>
      </c>
      <c r="F7" s="15" t="s">
        <v>103</v>
      </c>
      <c r="G7" s="15" t="s">
        <v>83</v>
      </c>
    </row>
    <row r="8" spans="1:7" ht="60" customHeight="1" x14ac:dyDescent="0.45">
      <c r="A8" s="14"/>
      <c r="B8" s="15" t="s">
        <v>15</v>
      </c>
      <c r="C8" s="16">
        <v>1</v>
      </c>
      <c r="D8" s="15" t="s">
        <v>16</v>
      </c>
      <c r="E8" s="15" t="s">
        <v>17</v>
      </c>
      <c r="F8" s="15" t="s">
        <v>18</v>
      </c>
      <c r="G8" s="15" t="s">
        <v>84</v>
      </c>
    </row>
    <row r="9" spans="1:7" ht="60" customHeight="1" x14ac:dyDescent="0.45">
      <c r="A9" s="14"/>
      <c r="B9" s="15" t="s">
        <v>19</v>
      </c>
      <c r="C9" s="16">
        <v>1</v>
      </c>
      <c r="D9" s="15" t="s">
        <v>20</v>
      </c>
      <c r="E9" s="15" t="s">
        <v>21</v>
      </c>
      <c r="F9" s="15" t="s">
        <v>22</v>
      </c>
      <c r="G9" s="15" t="s">
        <v>85</v>
      </c>
    </row>
    <row r="10" spans="1:7" ht="20.65" x14ac:dyDescent="0.9">
      <c r="A10" s="17"/>
      <c r="B10" s="18" t="s">
        <v>23</v>
      </c>
      <c r="C10" s="19">
        <f>SUM(C5:C9)</f>
        <v>7</v>
      </c>
      <c r="D10" s="20"/>
      <c r="E10" s="20"/>
      <c r="F10" s="20"/>
      <c r="G10" s="20"/>
    </row>
    <row r="11" spans="1:7" ht="64.5" customHeight="1" x14ac:dyDescent="0.45">
      <c r="A11" s="21" t="s">
        <v>24</v>
      </c>
      <c r="B11" s="22" t="s">
        <v>25</v>
      </c>
      <c r="C11" s="23">
        <v>1</v>
      </c>
      <c r="D11" s="22" t="s">
        <v>26</v>
      </c>
      <c r="E11" s="22" t="s">
        <v>27</v>
      </c>
      <c r="F11" s="22" t="s">
        <v>28</v>
      </c>
      <c r="G11" s="22" t="s">
        <v>94</v>
      </c>
    </row>
    <row r="12" spans="1:7" ht="64.5" customHeight="1" x14ac:dyDescent="0.45">
      <c r="A12" s="21"/>
      <c r="B12" s="22" t="s">
        <v>29</v>
      </c>
      <c r="C12" s="23">
        <v>1</v>
      </c>
      <c r="D12" s="22" t="s">
        <v>78</v>
      </c>
      <c r="E12" s="22" t="s">
        <v>80</v>
      </c>
      <c r="F12" s="22" t="s">
        <v>89</v>
      </c>
      <c r="G12" s="22" t="s">
        <v>95</v>
      </c>
    </row>
    <row r="13" spans="1:7" ht="64.5" customHeight="1" x14ac:dyDescent="0.45">
      <c r="A13" s="21"/>
      <c r="B13" s="22" t="s">
        <v>30</v>
      </c>
      <c r="C13" s="23">
        <v>1</v>
      </c>
      <c r="D13" s="22" t="s">
        <v>31</v>
      </c>
      <c r="E13" s="22" t="s">
        <v>32</v>
      </c>
      <c r="F13" s="22" t="s">
        <v>33</v>
      </c>
      <c r="G13" s="22" t="s">
        <v>93</v>
      </c>
    </row>
    <row r="14" spans="1:7" ht="64.5" customHeight="1" x14ac:dyDescent="0.45">
      <c r="A14" s="21"/>
      <c r="B14" s="22" t="s">
        <v>34</v>
      </c>
      <c r="C14" s="23">
        <v>1</v>
      </c>
      <c r="D14" s="22" t="s">
        <v>87</v>
      </c>
      <c r="E14" s="22" t="s">
        <v>81</v>
      </c>
      <c r="F14" s="22" t="s">
        <v>90</v>
      </c>
      <c r="G14" s="22" t="s">
        <v>96</v>
      </c>
    </row>
    <row r="15" spans="1:7" ht="64.5" customHeight="1" x14ac:dyDescent="0.45">
      <c r="A15" s="21"/>
      <c r="B15" s="22" t="s">
        <v>35</v>
      </c>
      <c r="C15" s="23">
        <v>1</v>
      </c>
      <c r="D15" s="22" t="s">
        <v>88</v>
      </c>
      <c r="E15" s="22" t="s">
        <v>82</v>
      </c>
      <c r="F15" s="22" t="s">
        <v>91</v>
      </c>
      <c r="G15" s="22" t="s">
        <v>92</v>
      </c>
    </row>
    <row r="16" spans="1:7" ht="20.65" x14ac:dyDescent="0.9">
      <c r="A16" s="17"/>
      <c r="B16" s="18" t="s">
        <v>36</v>
      </c>
      <c r="C16" s="19">
        <f>SUM(C11:C15)</f>
        <v>5</v>
      </c>
      <c r="D16" s="20"/>
      <c r="E16" s="20"/>
      <c r="F16" s="20"/>
      <c r="G16" s="20"/>
    </row>
    <row r="17" spans="1:7" ht="20.65" x14ac:dyDescent="0.9">
      <c r="A17" s="17"/>
      <c r="B17" s="24" t="s">
        <v>37</v>
      </c>
      <c r="C17" s="25">
        <f>C10+C16</f>
        <v>12</v>
      </c>
      <c r="D17" s="26"/>
      <c r="E17" s="26"/>
      <c r="F17" s="26"/>
      <c r="G17" s="26"/>
    </row>
  </sheetData>
  <mergeCells count="7">
    <mergeCell ref="D16:G16"/>
    <mergeCell ref="D17:G17"/>
    <mergeCell ref="A1:F1"/>
    <mergeCell ref="A2:F2"/>
    <mergeCell ref="A5:A9"/>
    <mergeCell ref="D10:G10"/>
    <mergeCell ref="A11:A15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26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6640625" defaultRowHeight="14.25" x14ac:dyDescent="0.45"/>
  <cols>
    <col min="1" max="1" width="7" customWidth="1"/>
    <col min="2" max="2" width="30" customWidth="1"/>
    <col min="3" max="6" width="10" customWidth="1"/>
    <col min="7" max="7" width="9" customWidth="1"/>
    <col min="8" max="9" width="10" customWidth="1"/>
    <col min="10" max="10" width="11" customWidth="1"/>
    <col min="11" max="11" width="12" customWidth="1"/>
    <col min="12" max="12" width="10" customWidth="1"/>
    <col min="13" max="13" width="12" customWidth="1"/>
    <col min="14" max="14" width="11" customWidth="1"/>
    <col min="15" max="15" width="10" customWidth="1"/>
    <col min="16" max="16" width="24" customWidth="1"/>
  </cols>
  <sheetData>
    <row r="1" spans="1:16" ht="21.75" customHeight="1" x14ac:dyDescent="0.45">
      <c r="A1" s="2" t="s">
        <v>38</v>
      </c>
      <c r="B1" s="2"/>
      <c r="C1" s="2" t="s">
        <v>39</v>
      </c>
      <c r="D1" s="2"/>
      <c r="E1" s="2"/>
      <c r="F1" s="2"/>
      <c r="G1" s="2"/>
      <c r="H1" s="1" t="s">
        <v>40</v>
      </c>
      <c r="I1" s="2" t="s">
        <v>41</v>
      </c>
      <c r="J1" s="2"/>
      <c r="K1" s="2"/>
      <c r="L1" s="2"/>
      <c r="M1" s="2"/>
      <c r="N1" s="1" t="s">
        <v>42</v>
      </c>
      <c r="O1" s="1" t="s">
        <v>43</v>
      </c>
      <c r="P1" s="1" t="s">
        <v>44</v>
      </c>
    </row>
    <row r="2" spans="1:16" ht="39.75" customHeight="1" x14ac:dyDescent="0.45">
      <c r="A2" s="2"/>
      <c r="B2" s="2"/>
      <c r="C2" s="7" t="s">
        <v>45</v>
      </c>
      <c r="D2" s="7" t="s">
        <v>46</v>
      </c>
      <c r="E2" s="7" t="s">
        <v>47</v>
      </c>
      <c r="F2" s="7" t="s">
        <v>48</v>
      </c>
      <c r="G2" s="7" t="s">
        <v>49</v>
      </c>
      <c r="H2" s="1"/>
      <c r="I2" s="7" t="s">
        <v>50</v>
      </c>
      <c r="J2" s="7" t="s">
        <v>51</v>
      </c>
      <c r="K2" s="7" t="s">
        <v>52</v>
      </c>
      <c r="L2" s="7" t="s">
        <v>53</v>
      </c>
      <c r="M2" s="7" t="s">
        <v>54</v>
      </c>
      <c r="N2" s="1"/>
      <c r="O2" s="1"/>
      <c r="P2" s="1"/>
    </row>
    <row r="3" spans="1:16" ht="15.75" x14ac:dyDescent="0.45">
      <c r="A3" s="8">
        <v>1</v>
      </c>
      <c r="B3" s="6" t="s">
        <v>55</v>
      </c>
      <c r="C3" s="9"/>
      <c r="D3" s="9"/>
      <c r="E3" s="9"/>
      <c r="F3" s="9"/>
      <c r="G3" s="9"/>
      <c r="H3" s="10">
        <f t="shared" ref="H3:H24" si="0">SUM(C3:G3)</f>
        <v>0</v>
      </c>
      <c r="I3" s="9"/>
      <c r="J3" s="9"/>
      <c r="K3" s="9"/>
      <c r="L3" s="9"/>
      <c r="M3" s="9"/>
      <c r="N3" s="10">
        <f t="shared" ref="N3:N24" si="1">SUM(I3:M3)</f>
        <v>0</v>
      </c>
      <c r="O3" s="10">
        <f t="shared" ref="O3:O24" si="2">H3+N3</f>
        <v>0</v>
      </c>
      <c r="P3" s="11"/>
    </row>
    <row r="4" spans="1:16" ht="15.75" x14ac:dyDescent="0.45">
      <c r="A4" s="12">
        <v>2</v>
      </c>
      <c r="B4" s="3" t="s">
        <v>56</v>
      </c>
      <c r="C4" s="9"/>
      <c r="D4" s="9"/>
      <c r="E4" s="9"/>
      <c r="F4" s="9"/>
      <c r="G4" s="9"/>
      <c r="H4" s="12">
        <f t="shared" si="0"/>
        <v>0</v>
      </c>
      <c r="I4" s="9"/>
      <c r="J4" s="9"/>
      <c r="K4" s="9"/>
      <c r="L4" s="9"/>
      <c r="M4" s="9"/>
      <c r="N4" s="12">
        <f t="shared" si="1"/>
        <v>0</v>
      </c>
      <c r="O4" s="12">
        <f t="shared" si="2"/>
        <v>0</v>
      </c>
      <c r="P4" s="11"/>
    </row>
    <row r="5" spans="1:16" ht="15.75" x14ac:dyDescent="0.45">
      <c r="A5" s="8">
        <v>3</v>
      </c>
      <c r="B5" s="6" t="s">
        <v>57</v>
      </c>
      <c r="C5" s="9"/>
      <c r="D5" s="9"/>
      <c r="E5" s="9"/>
      <c r="F5" s="9"/>
      <c r="G5" s="9"/>
      <c r="H5" s="10">
        <f t="shared" si="0"/>
        <v>0</v>
      </c>
      <c r="I5" s="9"/>
      <c r="J5" s="9"/>
      <c r="K5" s="9"/>
      <c r="L5" s="9"/>
      <c r="M5" s="9"/>
      <c r="N5" s="10">
        <f t="shared" si="1"/>
        <v>0</v>
      </c>
      <c r="O5" s="10">
        <f t="shared" si="2"/>
        <v>0</v>
      </c>
      <c r="P5" s="11"/>
    </row>
    <row r="6" spans="1:16" ht="15.75" x14ac:dyDescent="0.45">
      <c r="A6" s="12">
        <v>4</v>
      </c>
      <c r="B6" s="3" t="s">
        <v>58</v>
      </c>
      <c r="C6" s="9"/>
      <c r="D6" s="9"/>
      <c r="E6" s="9"/>
      <c r="F6" s="9"/>
      <c r="G6" s="9"/>
      <c r="H6" s="12">
        <f t="shared" si="0"/>
        <v>0</v>
      </c>
      <c r="I6" s="9"/>
      <c r="J6" s="9"/>
      <c r="K6" s="9"/>
      <c r="L6" s="9"/>
      <c r="M6" s="9"/>
      <c r="N6" s="12">
        <f t="shared" si="1"/>
        <v>0</v>
      </c>
      <c r="O6" s="12">
        <f t="shared" si="2"/>
        <v>0</v>
      </c>
      <c r="P6" s="11"/>
    </row>
    <row r="7" spans="1:16" ht="15.75" x14ac:dyDescent="0.45">
      <c r="A7" s="8">
        <v>5</v>
      </c>
      <c r="B7" s="6" t="s">
        <v>59</v>
      </c>
      <c r="C7" s="9"/>
      <c r="D7" s="9"/>
      <c r="E7" s="9"/>
      <c r="F7" s="9"/>
      <c r="G7" s="9"/>
      <c r="H7" s="10">
        <f t="shared" si="0"/>
        <v>0</v>
      </c>
      <c r="I7" s="9"/>
      <c r="J7" s="9"/>
      <c r="K7" s="9"/>
      <c r="L7" s="9"/>
      <c r="M7" s="9"/>
      <c r="N7" s="10">
        <f t="shared" si="1"/>
        <v>0</v>
      </c>
      <c r="O7" s="10">
        <f t="shared" si="2"/>
        <v>0</v>
      </c>
      <c r="P7" s="11"/>
    </row>
    <row r="8" spans="1:16" ht="15.75" x14ac:dyDescent="0.45">
      <c r="A8" s="12">
        <v>6</v>
      </c>
      <c r="B8" s="3" t="s">
        <v>60</v>
      </c>
      <c r="C8" s="9"/>
      <c r="D8" s="9"/>
      <c r="E8" s="9"/>
      <c r="F8" s="9"/>
      <c r="G8" s="9"/>
      <c r="H8" s="12">
        <f t="shared" si="0"/>
        <v>0</v>
      </c>
      <c r="I8" s="9"/>
      <c r="J8" s="9"/>
      <c r="K8" s="9"/>
      <c r="L8" s="9"/>
      <c r="M8" s="9"/>
      <c r="N8" s="12">
        <f t="shared" si="1"/>
        <v>0</v>
      </c>
      <c r="O8" s="12">
        <f t="shared" si="2"/>
        <v>0</v>
      </c>
      <c r="P8" s="11"/>
    </row>
    <row r="9" spans="1:16" ht="15.75" x14ac:dyDescent="0.45">
      <c r="A9" s="8">
        <v>7</v>
      </c>
      <c r="B9" s="6" t="s">
        <v>61</v>
      </c>
      <c r="C9" s="9"/>
      <c r="D9" s="9"/>
      <c r="E9" s="9"/>
      <c r="F9" s="9"/>
      <c r="G9" s="9"/>
      <c r="H9" s="10">
        <f t="shared" si="0"/>
        <v>0</v>
      </c>
      <c r="I9" s="9"/>
      <c r="J9" s="9"/>
      <c r="K9" s="9"/>
      <c r="L9" s="9"/>
      <c r="M9" s="9"/>
      <c r="N9" s="10">
        <f t="shared" si="1"/>
        <v>0</v>
      </c>
      <c r="O9" s="10">
        <f t="shared" si="2"/>
        <v>0</v>
      </c>
      <c r="P9" s="11"/>
    </row>
    <row r="10" spans="1:16" ht="15.75" x14ac:dyDescent="0.45">
      <c r="A10" s="12">
        <v>8</v>
      </c>
      <c r="B10" s="3" t="s">
        <v>62</v>
      </c>
      <c r="C10" s="9"/>
      <c r="D10" s="9"/>
      <c r="E10" s="9"/>
      <c r="F10" s="9"/>
      <c r="G10" s="9"/>
      <c r="H10" s="12">
        <f t="shared" si="0"/>
        <v>0</v>
      </c>
      <c r="I10" s="9"/>
      <c r="J10" s="9"/>
      <c r="K10" s="9"/>
      <c r="L10" s="9"/>
      <c r="M10" s="9"/>
      <c r="N10" s="12">
        <f t="shared" si="1"/>
        <v>0</v>
      </c>
      <c r="O10" s="12">
        <f t="shared" si="2"/>
        <v>0</v>
      </c>
      <c r="P10" s="11"/>
    </row>
    <row r="11" spans="1:16" ht="15.75" x14ac:dyDescent="0.45">
      <c r="A11" s="8">
        <v>9</v>
      </c>
      <c r="B11" s="6" t="s">
        <v>63</v>
      </c>
      <c r="C11" s="9"/>
      <c r="D11" s="9"/>
      <c r="E11" s="9"/>
      <c r="F11" s="9"/>
      <c r="G11" s="9"/>
      <c r="H11" s="10">
        <f t="shared" si="0"/>
        <v>0</v>
      </c>
      <c r="I11" s="9"/>
      <c r="J11" s="9"/>
      <c r="K11" s="9"/>
      <c r="L11" s="9"/>
      <c r="M11" s="9"/>
      <c r="N11" s="10">
        <f t="shared" si="1"/>
        <v>0</v>
      </c>
      <c r="O11" s="10">
        <f t="shared" si="2"/>
        <v>0</v>
      </c>
      <c r="P11" s="11"/>
    </row>
    <row r="12" spans="1:16" ht="15.75" x14ac:dyDescent="0.45">
      <c r="A12" s="12">
        <v>10</v>
      </c>
      <c r="B12" s="3" t="s">
        <v>64</v>
      </c>
      <c r="C12" s="9"/>
      <c r="D12" s="9"/>
      <c r="E12" s="9"/>
      <c r="F12" s="9"/>
      <c r="G12" s="9"/>
      <c r="H12" s="12">
        <f t="shared" si="0"/>
        <v>0</v>
      </c>
      <c r="I12" s="9"/>
      <c r="J12" s="9"/>
      <c r="K12" s="9"/>
      <c r="L12" s="9"/>
      <c r="M12" s="9"/>
      <c r="N12" s="12">
        <f t="shared" si="1"/>
        <v>0</v>
      </c>
      <c r="O12" s="12">
        <f t="shared" si="2"/>
        <v>0</v>
      </c>
      <c r="P12" s="11"/>
    </row>
    <row r="13" spans="1:16" ht="15.75" x14ac:dyDescent="0.45">
      <c r="A13" s="8">
        <v>11</v>
      </c>
      <c r="B13" s="6" t="s">
        <v>65</v>
      </c>
      <c r="C13" s="9"/>
      <c r="D13" s="9"/>
      <c r="E13" s="9"/>
      <c r="F13" s="9"/>
      <c r="G13" s="9"/>
      <c r="H13" s="10">
        <f t="shared" si="0"/>
        <v>0</v>
      </c>
      <c r="I13" s="9"/>
      <c r="J13" s="9"/>
      <c r="K13" s="9"/>
      <c r="L13" s="9"/>
      <c r="M13" s="9"/>
      <c r="N13" s="10">
        <f t="shared" si="1"/>
        <v>0</v>
      </c>
      <c r="O13" s="10">
        <f t="shared" si="2"/>
        <v>0</v>
      </c>
      <c r="P13" s="11"/>
    </row>
    <row r="14" spans="1:16" ht="15.75" x14ac:dyDescent="0.45">
      <c r="A14" s="12">
        <v>12</v>
      </c>
      <c r="B14" s="3" t="s">
        <v>66</v>
      </c>
      <c r="C14" s="9"/>
      <c r="D14" s="9"/>
      <c r="E14" s="9"/>
      <c r="F14" s="9"/>
      <c r="G14" s="9"/>
      <c r="H14" s="12">
        <f t="shared" si="0"/>
        <v>0</v>
      </c>
      <c r="I14" s="9"/>
      <c r="J14" s="9"/>
      <c r="K14" s="9"/>
      <c r="L14" s="9"/>
      <c r="M14" s="9"/>
      <c r="N14" s="12">
        <f t="shared" si="1"/>
        <v>0</v>
      </c>
      <c r="O14" s="12">
        <f t="shared" si="2"/>
        <v>0</v>
      </c>
      <c r="P14" s="11"/>
    </row>
    <row r="15" spans="1:16" ht="15.75" x14ac:dyDescent="0.45">
      <c r="A15" s="8">
        <v>13</v>
      </c>
      <c r="B15" s="6" t="s">
        <v>67</v>
      </c>
      <c r="C15" s="9"/>
      <c r="D15" s="9"/>
      <c r="E15" s="9"/>
      <c r="F15" s="9"/>
      <c r="G15" s="9"/>
      <c r="H15" s="10">
        <f t="shared" si="0"/>
        <v>0</v>
      </c>
      <c r="I15" s="9"/>
      <c r="J15" s="9"/>
      <c r="K15" s="9"/>
      <c r="L15" s="9"/>
      <c r="M15" s="9"/>
      <c r="N15" s="10">
        <f t="shared" si="1"/>
        <v>0</v>
      </c>
      <c r="O15" s="10">
        <f t="shared" si="2"/>
        <v>0</v>
      </c>
      <c r="P15" s="11"/>
    </row>
    <row r="16" spans="1:16" ht="15.75" x14ac:dyDescent="0.45">
      <c r="A16" s="12">
        <v>14</v>
      </c>
      <c r="B16" s="3" t="s">
        <v>68</v>
      </c>
      <c r="C16" s="9"/>
      <c r="D16" s="9"/>
      <c r="E16" s="9"/>
      <c r="F16" s="9"/>
      <c r="G16" s="9"/>
      <c r="H16" s="12">
        <f t="shared" si="0"/>
        <v>0</v>
      </c>
      <c r="I16" s="9"/>
      <c r="J16" s="9"/>
      <c r="K16" s="9"/>
      <c r="L16" s="9"/>
      <c r="M16" s="9"/>
      <c r="N16" s="12">
        <f t="shared" si="1"/>
        <v>0</v>
      </c>
      <c r="O16" s="12">
        <f t="shared" si="2"/>
        <v>0</v>
      </c>
      <c r="P16" s="11"/>
    </row>
    <row r="17" spans="1:16" ht="15.75" x14ac:dyDescent="0.45">
      <c r="A17" s="8">
        <v>15</v>
      </c>
      <c r="B17" s="6" t="s">
        <v>69</v>
      </c>
      <c r="C17" s="9"/>
      <c r="D17" s="9"/>
      <c r="E17" s="9"/>
      <c r="F17" s="9"/>
      <c r="G17" s="9"/>
      <c r="H17" s="10">
        <f t="shared" si="0"/>
        <v>0</v>
      </c>
      <c r="I17" s="9"/>
      <c r="J17" s="9"/>
      <c r="K17" s="9"/>
      <c r="L17" s="9"/>
      <c r="M17" s="9"/>
      <c r="N17" s="10">
        <f t="shared" si="1"/>
        <v>0</v>
      </c>
      <c r="O17" s="10">
        <f t="shared" si="2"/>
        <v>0</v>
      </c>
      <c r="P17" s="11"/>
    </row>
    <row r="18" spans="1:16" ht="15.75" x14ac:dyDescent="0.45">
      <c r="A18" s="12">
        <v>16</v>
      </c>
      <c r="B18" s="3" t="s">
        <v>70</v>
      </c>
      <c r="C18" s="9"/>
      <c r="D18" s="9"/>
      <c r="E18" s="9"/>
      <c r="F18" s="9"/>
      <c r="G18" s="9"/>
      <c r="H18" s="12">
        <f t="shared" si="0"/>
        <v>0</v>
      </c>
      <c r="I18" s="9"/>
      <c r="J18" s="9"/>
      <c r="K18" s="9"/>
      <c r="L18" s="9"/>
      <c r="M18" s="9"/>
      <c r="N18" s="12">
        <f t="shared" si="1"/>
        <v>0</v>
      </c>
      <c r="O18" s="12">
        <f t="shared" si="2"/>
        <v>0</v>
      </c>
      <c r="P18" s="11"/>
    </row>
    <row r="19" spans="1:16" ht="15.75" x14ac:dyDescent="0.45">
      <c r="A19" s="8">
        <v>17</v>
      </c>
      <c r="B19" s="6" t="s">
        <v>71</v>
      </c>
      <c r="C19" s="9"/>
      <c r="D19" s="9"/>
      <c r="E19" s="9"/>
      <c r="F19" s="9"/>
      <c r="G19" s="9"/>
      <c r="H19" s="10">
        <f t="shared" si="0"/>
        <v>0</v>
      </c>
      <c r="I19" s="9"/>
      <c r="J19" s="9"/>
      <c r="K19" s="9"/>
      <c r="L19" s="9"/>
      <c r="M19" s="9"/>
      <c r="N19" s="10">
        <f t="shared" si="1"/>
        <v>0</v>
      </c>
      <c r="O19" s="10">
        <f t="shared" si="2"/>
        <v>0</v>
      </c>
      <c r="P19" s="11"/>
    </row>
    <row r="20" spans="1:16" ht="15.75" x14ac:dyDescent="0.45">
      <c r="A20" s="12">
        <v>18</v>
      </c>
      <c r="B20" s="3" t="s">
        <v>72</v>
      </c>
      <c r="C20" s="9"/>
      <c r="D20" s="9"/>
      <c r="E20" s="9"/>
      <c r="F20" s="9"/>
      <c r="G20" s="9"/>
      <c r="H20" s="12">
        <f t="shared" si="0"/>
        <v>0</v>
      </c>
      <c r="I20" s="9"/>
      <c r="J20" s="9"/>
      <c r="K20" s="9"/>
      <c r="L20" s="9"/>
      <c r="M20" s="9"/>
      <c r="N20" s="12">
        <f t="shared" si="1"/>
        <v>0</v>
      </c>
      <c r="O20" s="12">
        <f t="shared" si="2"/>
        <v>0</v>
      </c>
      <c r="P20" s="11"/>
    </row>
    <row r="21" spans="1:16" ht="15.75" x14ac:dyDescent="0.45">
      <c r="A21" s="8">
        <v>19</v>
      </c>
      <c r="B21" s="6" t="s">
        <v>73</v>
      </c>
      <c r="C21" s="9"/>
      <c r="D21" s="9"/>
      <c r="E21" s="9"/>
      <c r="F21" s="9"/>
      <c r="G21" s="9"/>
      <c r="H21" s="10">
        <f t="shared" si="0"/>
        <v>0</v>
      </c>
      <c r="I21" s="9"/>
      <c r="J21" s="9"/>
      <c r="K21" s="9"/>
      <c r="L21" s="9"/>
      <c r="M21" s="9"/>
      <c r="N21" s="10">
        <f t="shared" si="1"/>
        <v>0</v>
      </c>
      <c r="O21" s="10">
        <f t="shared" si="2"/>
        <v>0</v>
      </c>
      <c r="P21" s="11"/>
    </row>
    <row r="22" spans="1:16" ht="15.75" x14ac:dyDescent="0.45">
      <c r="A22" s="12">
        <v>20</v>
      </c>
      <c r="B22" s="3" t="s">
        <v>74</v>
      </c>
      <c r="C22" s="9"/>
      <c r="D22" s="9"/>
      <c r="E22" s="9"/>
      <c r="F22" s="9"/>
      <c r="G22" s="9"/>
      <c r="H22" s="12">
        <f t="shared" si="0"/>
        <v>0</v>
      </c>
      <c r="I22" s="9"/>
      <c r="J22" s="9"/>
      <c r="K22" s="9"/>
      <c r="L22" s="9"/>
      <c r="M22" s="9"/>
      <c r="N22" s="12">
        <f t="shared" si="1"/>
        <v>0</v>
      </c>
      <c r="O22" s="12">
        <f t="shared" si="2"/>
        <v>0</v>
      </c>
      <c r="P22" s="11"/>
    </row>
    <row r="23" spans="1:16" ht="15.75" x14ac:dyDescent="0.45">
      <c r="A23" s="8">
        <v>21</v>
      </c>
      <c r="B23" s="6" t="s">
        <v>75</v>
      </c>
      <c r="C23" s="9"/>
      <c r="D23" s="9"/>
      <c r="E23" s="9"/>
      <c r="F23" s="9"/>
      <c r="G23" s="9"/>
      <c r="H23" s="10">
        <f t="shared" si="0"/>
        <v>0</v>
      </c>
      <c r="I23" s="9"/>
      <c r="J23" s="9"/>
      <c r="K23" s="9"/>
      <c r="L23" s="9"/>
      <c r="M23" s="9"/>
      <c r="N23" s="10">
        <f t="shared" si="1"/>
        <v>0</v>
      </c>
      <c r="O23" s="10">
        <f t="shared" si="2"/>
        <v>0</v>
      </c>
      <c r="P23" s="11"/>
    </row>
    <row r="24" spans="1:16" ht="15.75" x14ac:dyDescent="0.45">
      <c r="A24" s="12">
        <v>22</v>
      </c>
      <c r="B24" s="3" t="s">
        <v>76</v>
      </c>
      <c r="C24" s="9"/>
      <c r="D24" s="9"/>
      <c r="E24" s="9"/>
      <c r="F24" s="9"/>
      <c r="G24" s="9"/>
      <c r="H24" s="12">
        <f t="shared" si="0"/>
        <v>0</v>
      </c>
      <c r="I24" s="9"/>
      <c r="J24" s="9"/>
      <c r="K24" s="9"/>
      <c r="L24" s="9"/>
      <c r="M24" s="9"/>
      <c r="N24" s="12">
        <f t="shared" si="1"/>
        <v>0</v>
      </c>
      <c r="O24" s="12">
        <f t="shared" si="2"/>
        <v>0</v>
      </c>
      <c r="P24" s="11"/>
    </row>
    <row r="26" spans="1:16" ht="15.75" x14ac:dyDescent="0.45">
      <c r="B26" s="4" t="s">
        <v>77</v>
      </c>
      <c r="H26" s="5">
        <f>AVERAGE(H3:H24)</f>
        <v>0</v>
      </c>
      <c r="N26" s="5">
        <f>AVERAGE(N3:N24)</f>
        <v>0</v>
      </c>
      <c r="O26" s="5">
        <f>AVERAGE(O3:O24)</f>
        <v>0</v>
      </c>
    </row>
  </sheetData>
  <autoFilter ref="A2:P24" xr:uid="{00000000-0009-0000-0000-000001000000}"/>
  <mergeCells count="8">
    <mergeCell ref="N1:N2"/>
    <mergeCell ref="O1:O2"/>
    <mergeCell ref="P1:P2"/>
    <mergeCell ref="A1:A2"/>
    <mergeCell ref="B1:B2"/>
    <mergeCell ref="C1:G1"/>
    <mergeCell ref="H1:H2"/>
    <mergeCell ref="I1:M1"/>
  </mergeCells>
  <pageMargins left="0.75" right="0.75" top="1" bottom="1" header="0.511811023622047" footer="0.511811023622047"/>
  <pageSetup fitToHeight="0"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95E7BA23164C44A34976FF774A14AC" ma:contentTypeVersion="1" ma:contentTypeDescription="Create a new document." ma:contentTypeScope="" ma:versionID="b6c24e972acfd430e1366f9784cb3009">
  <xsd:schema xmlns:xsd="http://www.w3.org/2001/XMLSchema" xmlns:xs="http://www.w3.org/2001/XMLSchema" xmlns:p="http://schemas.microsoft.com/office/2006/metadata/properties" xmlns:ns2="e45cb4d8-19a9-4b13-b6f5-824b45606c3c" targetNamespace="http://schemas.microsoft.com/office/2006/metadata/properties" ma:root="true" ma:fieldsID="b99342f4664422217ab3ef20cba8d9fc" ns2:_="">
    <xsd:import namespace="e45cb4d8-19a9-4b13-b6f5-824b45606c3c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5cb4d8-19a9-4b13-b6f5-824b45606c3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fc7acaa-f919-463b-ae62-f5f9386dcdd5" ContentTypeId="0x0101" PreviousValue="false" LastSyncTimeStamp="2021-07-23T15:19:22.11Z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e45cb4d8-19a9-4b13-b6f5-824b45606c3c" xsi:nil="true"/>
  </documentManagement>
</p:properties>
</file>

<file path=customXml/itemProps1.xml><?xml version="1.0" encoding="utf-8"?>
<ds:datastoreItem xmlns:ds="http://schemas.openxmlformats.org/officeDocument/2006/customXml" ds:itemID="{929CD2BE-6125-4FA1-AA1F-4B7226273C1E}"/>
</file>

<file path=customXml/itemProps2.xml><?xml version="1.0" encoding="utf-8"?>
<ds:datastoreItem xmlns:ds="http://schemas.openxmlformats.org/officeDocument/2006/customXml" ds:itemID="{A49CF76A-7894-4E38-9652-12F54A65DDE0}"/>
</file>

<file path=customXml/itemProps3.xml><?xml version="1.0" encoding="utf-8"?>
<ds:datastoreItem xmlns:ds="http://schemas.openxmlformats.org/officeDocument/2006/customXml" ds:itemID="{E9F5B294-66C5-4431-B5FD-6494949AA7A5}"/>
</file>

<file path=customXml/itemProps4.xml><?xml version="1.0" encoding="utf-8"?>
<ds:datastoreItem xmlns:ds="http://schemas.openxmlformats.org/officeDocument/2006/customXml" ds:itemID="{B2D98734-7374-4EBD-84BD-CC7B07F7F57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</vt:i4>
      </vt:variant>
      <vt:variant>
        <vt:lpstr>ช่วงที่มีชื่อ</vt:lpstr>
      </vt:variant>
      <vt:variant>
        <vt:i4>1</vt:i4>
      </vt:variant>
    </vt:vector>
  </HeadingPairs>
  <TitlesOfParts>
    <vt:vector size="3" baseType="lpstr">
      <vt:lpstr>เกณฑ์การให้คะแนน (Rubric)</vt:lpstr>
      <vt:lpstr>ตารางกรอกคะแนน (Grading)</vt:lpstr>
      <vt:lpstr>'ตารางกรอกคะแนน (Grading)'!Print_Titles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Tasanawan.so@outlook.com</cp:lastModifiedBy>
  <cp:revision>0</cp:revision>
  <dcterms:created xsi:type="dcterms:W3CDTF">2026-09-18T02:31:47Z</dcterms:created>
  <dcterms:modified xsi:type="dcterms:W3CDTF">2026-09-19T05:40:56Z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0x010100AF95E7BA23164C44A34976FF774A14AC</vt:lpwstr>
  </property>
</Properties>
</file>